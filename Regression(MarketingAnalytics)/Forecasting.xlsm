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uj\Desktop\"/>
    </mc:Choice>
  </mc:AlternateContent>
  <xr:revisionPtr revIDLastSave="0" documentId="13_ncr:1_{7BC14CEF-2A66-47F1-8AFD-92C3C774F624}" xr6:coauthVersionLast="47" xr6:coauthVersionMax="47" xr10:uidLastSave="{00000000-0000-0000-0000-000000000000}"/>
  <bookViews>
    <workbookView xWindow="-108" yWindow="-108" windowWidth="23256" windowHeight="13176" activeTab="1" xr2:uid="{BD8A00AC-273B-45CE-80B5-41961C9A401D}"/>
  </bookViews>
  <sheets>
    <sheet name="Sheet1" sheetId="1" r:id="rId1"/>
    <sheet name="Sheet2" sheetId="2" r:id="rId2"/>
  </sheets>
  <definedNames>
    <definedName name="level" localSheetId="1">Sheet2!$B$20</definedName>
    <definedName name="level">Sheet1!$B$21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Sheet1!#REF!</definedName>
    <definedName name="solver_typ" localSheetId="0" hidden="1">1</definedName>
    <definedName name="solver_val" localSheetId="0" hidden="1">0</definedName>
    <definedName name="solver_ver" localSheetId="0" hidden="1">3</definedName>
    <definedName name="trend" localSheetId="1">Sheet2!$B$21</definedName>
    <definedName name="trend">Sheet1!$B$22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2" i="2"/>
  <c r="E2" i="2"/>
  <c r="E3" i="2"/>
  <c r="E4" i="2"/>
  <c r="E5" i="2"/>
  <c r="E6" i="2"/>
  <c r="E7" i="2"/>
  <c r="E8" i="2"/>
  <c r="E9" i="2"/>
  <c r="E10" i="2"/>
  <c r="E11" i="2"/>
  <c r="E12" i="2"/>
  <c r="E13" i="2"/>
  <c r="F3" i="2" l="1"/>
  <c r="F4" i="2"/>
  <c r="F26" i="2" s="1"/>
  <c r="F5" i="2"/>
  <c r="F6" i="2"/>
  <c r="F7" i="2"/>
  <c r="F8" i="2"/>
  <c r="F9" i="2"/>
  <c r="F10" i="2"/>
  <c r="F11" i="2"/>
  <c r="F12" i="2"/>
  <c r="F13" i="2"/>
  <c r="F2" i="2"/>
  <c r="F24" i="2" s="1"/>
  <c r="B21" i="2"/>
  <c r="B20" i="2"/>
  <c r="F27" i="2" l="1"/>
  <c r="F25" i="2"/>
  <c r="D5" i="2" l="1"/>
  <c r="D6" i="2"/>
  <c r="D7" i="2"/>
  <c r="D8" i="2"/>
  <c r="D9" i="2"/>
  <c r="D10" i="2"/>
  <c r="D11" i="2"/>
  <c r="D4" i="2"/>
  <c r="B22" i="1"/>
  <c r="B21" i="1"/>
  <c r="D5" i="1" l="1"/>
  <c r="D6" i="1"/>
  <c r="D7" i="1"/>
  <c r="D8" i="1"/>
  <c r="D9" i="1"/>
  <c r="D10" i="1"/>
  <c r="D11" i="1"/>
  <c r="D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Anuj</author>
  </authors>
  <commentList>
    <comment ref="D4" authorId="0" shapeId="0" xr:uid="{6D8B274B-5B97-4CC7-9487-06E8127F9D40}">
      <text>
        <r>
          <rPr>
            <b/>
            <sz val="9"/>
            <color indexed="81"/>
            <rFont val="Tahoma"/>
            <family val="2"/>
          </rPr>
          <t>Anuj:</t>
        </r>
        <r>
          <rPr>
            <sz val="9"/>
            <color indexed="81"/>
            <rFont val="Tahoma"/>
            <family val="2"/>
          </rPr>
          <t xml:space="preserve">
It is used when periodicity is even
</t>
        </r>
      </text>
    </comment>
  </commentList>
</comments>
</file>

<file path=xl/sharedStrings.xml><?xml version="1.0" encoding="utf-8"?>
<sst xmlns="http://schemas.openxmlformats.org/spreadsheetml/2006/main" count="114" uniqueCount="61">
  <si>
    <t>Year, Qtr</t>
  </si>
  <si>
    <r>
      <t xml:space="preserve">Period
</t>
    </r>
    <r>
      <rPr>
        <i/>
        <sz val="10"/>
        <rFont val="Arial"/>
        <family val="2"/>
      </rPr>
      <t xml:space="preserve"> t</t>
    </r>
  </si>
  <si>
    <r>
      <t xml:space="preserve">Demand
</t>
    </r>
    <r>
      <rPr>
        <i/>
        <sz val="10"/>
        <rFont val="Arial"/>
        <family val="2"/>
      </rPr>
      <t xml:space="preserve"> D</t>
    </r>
    <r>
      <rPr>
        <i/>
        <vertAlign val="subscript"/>
        <sz val="10"/>
        <rFont val="Arial"/>
        <family val="2"/>
      </rPr>
      <t>t</t>
    </r>
  </si>
  <si>
    <t>01,2</t>
  </si>
  <si>
    <t>01,3</t>
  </si>
  <si>
    <t>01,4</t>
  </si>
  <si>
    <t>02,1</t>
  </si>
  <si>
    <t>02,2</t>
  </si>
  <si>
    <t>02,3</t>
  </si>
  <si>
    <t>02,4</t>
  </si>
  <si>
    <t>03,1</t>
  </si>
  <si>
    <t>03,2</t>
  </si>
  <si>
    <t>03,3</t>
  </si>
  <si>
    <t>03,4</t>
  </si>
  <si>
    <t>04,1</t>
  </si>
  <si>
    <t>04,2</t>
  </si>
  <si>
    <t>04,3</t>
  </si>
  <si>
    <t>04,4</t>
  </si>
  <si>
    <t>04,5</t>
  </si>
  <si>
    <t>f=(level+t*Trend)seasonality</t>
  </si>
  <si>
    <t>p</t>
  </si>
  <si>
    <t>Deseasonalise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</si>
  <si>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</si>
  <si>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</si>
  <si>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</si>
  <si>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</si>
  <si>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</si>
  <si>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</si>
  <si>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</si>
  <si>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</si>
  <si>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</si>
  <si>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</si>
  <si>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</si>
  <si>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</si>
  <si>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</si>
  <si>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</si>
  <si>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</si>
  <si>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</si>
  <si>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</si>
  <si>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</si>
  <si>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</si>
  <si>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</si>
  <si>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</si>
  <si>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</si>
  <si>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</si>
  <si>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</si>
  <si>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level+t*trend</t>
  </si>
  <si>
    <t>level</t>
  </si>
  <si>
    <t>trend</t>
  </si>
  <si>
    <t>X Variable 1</t>
  </si>
  <si>
    <t>X Variable 2</t>
  </si>
  <si>
    <t>seasonal factor demand/regression deseasonalised</t>
  </si>
  <si>
    <t>s1</t>
  </si>
  <si>
    <t>s2</t>
  </si>
  <si>
    <t>s3</t>
  </si>
  <si>
    <t>s4</t>
  </si>
  <si>
    <t>decentralised</t>
  </si>
  <si>
    <r>
      <rPr>
        <b/>
        <sz val="11"/>
        <color theme="1"/>
        <rFont val="Aptos Narrow"/>
        <family val="2"/>
        <scheme val="minor"/>
      </rPr>
      <t>Seasonality</t>
    </r>
    <r>
      <rPr>
        <sz val="11"/>
        <color theme="1"/>
        <rFont val="Aptos Narrow"/>
        <family val="2"/>
        <scheme val="minor"/>
      </rPr>
      <t xml:space="preserve"> (demand/regression deseasonalised)</t>
    </r>
  </si>
  <si>
    <r>
      <rPr>
        <b/>
        <sz val="11"/>
        <color theme="1"/>
        <rFont val="Aptos Narrow"/>
        <family val="2"/>
        <scheme val="minor"/>
      </rPr>
      <t>Regression deseasonalised</t>
    </r>
    <r>
      <rPr>
        <sz val="11"/>
        <color theme="1"/>
        <rFont val="Aptos Narrow"/>
        <family val="2"/>
        <scheme val="minor"/>
      </rPr>
      <t xml:space="preserve"> ( level+t*trend)</t>
    </r>
  </si>
  <si>
    <t>Average seasonality</t>
  </si>
  <si>
    <t>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</si>
</sst>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10"/>
      <name val="Arial"/>
      <family val="2"/>
    </font>
    <font>
      <i/>
      <sz val="10"/>
      <name val="Arial"/>
      <family val="2"/>
    </font>
    <font>
      <i/>
      <vertAlign val="subscript"/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1" fillId="0" borderId="1" xfId="1" applyBorder="1" applyAlignment="1">
      <alignment horizontal="center"/>
    </xf>
    <xf numFmtId="3" fontId="1" fillId="0" borderId="2" xfId="1" applyNumberFormat="1" applyBorder="1"/>
    <xf numFmtId="0" fontId="2" fillId="0" borderId="8" xfId="1" applyFont="1" applyBorder="1"/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0" fontId="1" fillId="0" borderId="10" xfId="1" applyBorder="1" applyAlignment="1">
      <alignment horizontal="center"/>
    </xf>
    <xf numFmtId="0" fontId="1" fillId="0" borderId="9" xfId="1" applyBorder="1" applyAlignment="1">
      <alignment horizontal="center"/>
    </xf>
    <xf numFmtId="0" fontId="5" fillId="0" borderId="11" xfId="1" applyFont="1" applyBorder="1" applyAlignment="1">
      <alignment horizontal="center"/>
    </xf>
    <xf numFmtId="0" fontId="2" fillId="0" borderId="6" xfId="1" applyFont="1" applyBorder="1" applyAlignment="1">
      <alignment horizontal="center" wrapText="1"/>
    </xf>
    <xf numFmtId="0" fontId="2" fillId="0" borderId="7" xfId="1" applyFont="1" applyBorder="1" applyAlignment="1">
      <alignment horizontal="center" wrapText="1"/>
    </xf>
    <xf numFmtId="0" fontId="5" fillId="0" borderId="5" xfId="1" applyFont="1" applyBorder="1" applyAlignment="1">
      <alignment horizontal="center"/>
    </xf>
    <xf numFmtId="0" fontId="5" fillId="0" borderId="0" xfId="1" applyFont="1" applyAlignment="1">
      <alignment horizontal="center"/>
    </xf>
    <xf numFmtId="0" fontId="1" fillId="0" borderId="0" xfId="1" applyAlignment="1">
      <alignment horizontal="center"/>
    </xf>
    <xf numFmtId="0" fontId="5" fillId="0" borderId="0" xfId="1" applyFont="1" applyAlignment="1">
      <alignment horizontal="left"/>
    </xf>
    <xf numFmtId="0" fontId="0" fillId="0" borderId="0" xfId="0" applyAlignment="1">
      <alignment wrapText="1"/>
    </xf>
    <xf numFmtId="0" fontId="0" fillId="0" borderId="3" xfId="0" applyBorder="1"/>
    <xf numFmtId="0" fontId="8" fillId="0" borderId="4" xfId="0" applyFont="1" applyBorder="1" applyAlignment="1">
      <alignment horizontal="center"/>
    </xf>
    <xf numFmtId="0" fontId="8" fillId="0" borderId="4" xfId="0" applyFont="1" applyBorder="1" applyAlignment="1">
      <alignment horizontal="centerContinuous"/>
    </xf>
    <xf numFmtId="0" fontId="0" fillId="0" borderId="0" xfId="0" applyFill="1" applyBorder="1" applyAlignment="1"/>
    <xf numFmtId="0" fontId="0" fillId="0" borderId="3" xfId="0" applyFill="1" applyBorder="1" applyAlignment="1"/>
    <xf numFmtId="0" fontId="8" fillId="0" borderId="4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Continuous"/>
    </xf>
    <xf numFmtId="2" fontId="0" fillId="0" borderId="0" xfId="0" applyNumberFormat="1"/>
    <xf numFmtId="1" fontId="0" fillId="0" borderId="0" xfId="0" applyNumberFormat="1"/>
  </cellXfs>
  <cellStyles count="3">
    <cellStyle name="Normal" xfId="0" builtinId="0"/>
    <cellStyle name="Normal 2" xfId="1" xr:uid="{752FA5EF-36BD-44AD-B68A-F9F13F85DA65}"/>
    <cellStyle name="Per cent 2" xfId="2" xr:uid="{41D1395D-99B7-45CC-BB17-3431875D29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Demand
 Dt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Sheet1!$B$2:$B$13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Sheet1!$C$2:$C$13</c:f>
              <c:numCache>
                <c:formatCode>#,##0</c:formatCode>
                <c:ptCount val="12"/>
                <c:pt idx="0">
                  <c:v>8000</c:v>
                </c:pt>
                <c:pt idx="1">
                  <c:v>13000</c:v>
                </c:pt>
                <c:pt idx="2">
                  <c:v>23000</c:v>
                </c:pt>
                <c:pt idx="3">
                  <c:v>34000</c:v>
                </c:pt>
                <c:pt idx="4">
                  <c:v>10000</c:v>
                </c:pt>
                <c:pt idx="5">
                  <c:v>18000</c:v>
                </c:pt>
                <c:pt idx="6">
                  <c:v>23000</c:v>
                </c:pt>
                <c:pt idx="7">
                  <c:v>38000</c:v>
                </c:pt>
                <c:pt idx="8">
                  <c:v>12000</c:v>
                </c:pt>
                <c:pt idx="9">
                  <c:v>13000</c:v>
                </c:pt>
                <c:pt idx="10">
                  <c:v>32000</c:v>
                </c:pt>
                <c:pt idx="11">
                  <c:v>41000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31-4BA5-AC6F-59C61D9F1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507551"/>
        <c:axId val="1387511391"/>
      </c:scatterChart>
      <c:valAx>
        <c:axId val="1387507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511391"/>
        <c:crosses val="autoZero"/>
        <c:crossBetween val="midCat"/>
      </c:valAx>
      <c:valAx>
        <c:axId val="13875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50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Demand
 Dt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  <a:tailEnd type="oval"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Sheet1!$B$2:$B$11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Sheet1!$C$2:$C$11</c:f>
              <c:numCache>
                <c:formatCode>#,##0</c:formatCode>
                <c:ptCount val="10"/>
                <c:pt idx="0">
                  <c:v>8000</c:v>
                </c:pt>
                <c:pt idx="1">
                  <c:v>13000</c:v>
                </c:pt>
                <c:pt idx="2">
                  <c:v>23000</c:v>
                </c:pt>
                <c:pt idx="3">
                  <c:v>34000</c:v>
                </c:pt>
                <c:pt idx="4">
                  <c:v>10000</c:v>
                </c:pt>
                <c:pt idx="5">
                  <c:v>18000</c:v>
                </c:pt>
                <c:pt idx="6">
                  <c:v>23000</c:v>
                </c:pt>
                <c:pt idx="7">
                  <c:v>38000</c:v>
                </c:pt>
                <c:pt idx="8">
                  <c:v>12000</c:v>
                </c:pt>
                <c:pt idx="9">
                  <c:v>13000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3F-4675-AF9D-27B7798430FC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Deseasonalise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Sheet1!$B$2:$B$11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Sheet1!$D$2:$D$11</c:f>
              <c:numCache>
                <c:formatCode>General</c:formatCode>
                <c:ptCount val="10"/>
                <c:pt idx="2">
                  <c:v>19750</c:v>
                </c:pt>
                <c:pt idx="3">
                  <c:v>20625</c:v>
                </c:pt>
                <c:pt idx="4">
                  <c:v>21250</c:v>
                </c:pt>
                <c:pt idx="5">
                  <c:v>21750</c:v>
                </c:pt>
                <c:pt idx="6">
                  <c:v>22500</c:v>
                </c:pt>
                <c:pt idx="7">
                  <c:v>22125</c:v>
                </c:pt>
                <c:pt idx="8">
                  <c:v>22625</c:v>
                </c:pt>
                <c:pt idx="9">
                  <c:v>24125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3F-4675-AF9D-27B779843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7150432"/>
        <c:axId val="1437162432"/>
      </c:lineChart>
      <c:catAx>
        <c:axId val="143715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7162432"/>
        <c:crosses val="autoZero"/>
        <c:auto val="1"/>
        <c:lblAlgn val="ctr"/>
        <c:lblOffset val="100"/>
        <c:noMultiLvlLbl val="0"/>
      </c:catAx>
      <c:valAx>
        <c:axId val="143716243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715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745347926132261E-2"/>
          <c:y val="7.4296596430217715E-2"/>
          <c:w val="0.94415863010717105"/>
          <c:h val="0.8394943061761454"/>
        </c:manualLayout>
      </c:layout>
      <c:lineChart>
        <c:grouping val="standard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Demand
 Dt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Sheet2!$B$2:$B$17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Sheet2!$C$2:$C$17</c:f>
              <c:numCache>
                <c:formatCode>#,##0</c:formatCode>
                <c:ptCount val="16"/>
                <c:pt idx="0">
                  <c:v>8000</c:v>
                </c:pt>
                <c:pt idx="1">
                  <c:v>13000</c:v>
                </c:pt>
                <c:pt idx="2">
                  <c:v>23000</c:v>
                </c:pt>
                <c:pt idx="3">
                  <c:v>34000</c:v>
                </c:pt>
                <c:pt idx="4">
                  <c:v>10000</c:v>
                </c:pt>
                <c:pt idx="5">
                  <c:v>18000</c:v>
                </c:pt>
                <c:pt idx="6">
                  <c:v>23000</c:v>
                </c:pt>
                <c:pt idx="7">
                  <c:v>38000</c:v>
                </c:pt>
                <c:pt idx="8">
                  <c:v>12000</c:v>
                </c:pt>
                <c:pt idx="9">
                  <c:v>13000</c:v>
                </c:pt>
                <c:pt idx="10">
                  <c:v>32000</c:v>
                </c:pt>
                <c:pt idx="11">
                  <c:v>41000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76-4B74-AE7E-C25EB1E06F3F}"/>
            </c:ext>
          </c:extLst>
        </c:ser>
        <c:ser>
          <c:idx val="1"/>
          <c:order val="1"/>
          <c:tx>
            <c:strRef>
              <c:f>Sheet2!$D$1</c:f>
              <c:strCache>
                <c:ptCount val="1"/>
                <c:pt idx="0">
                  <c:v>decentralised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Sheet2!$B$2:$B$17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Sheet2!$D$2:$D$17</c:f>
              <c:numCache>
                <c:formatCode>General</c:formatCode>
                <c:ptCount val="16"/>
                <c:pt idx="2">
                  <c:v>19750</c:v>
                </c:pt>
                <c:pt idx="3">
                  <c:v>20625</c:v>
                </c:pt>
                <c:pt idx="4">
                  <c:v>21250</c:v>
                </c:pt>
                <c:pt idx="5">
                  <c:v>21750</c:v>
                </c:pt>
                <c:pt idx="6">
                  <c:v>22500</c:v>
                </c:pt>
                <c:pt idx="7">
                  <c:v>22125</c:v>
                </c:pt>
                <c:pt idx="8">
                  <c:v>22625</c:v>
                </c:pt>
                <c:pt idx="9">
                  <c:v>24125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76-4B74-AE7E-C25EB1E06F3F}"/>
            </c:ext>
          </c:extLst>
        </c:ser>
        <c:ser>
          <c:idx val="2"/>
          <c:order val="2"/>
          <c:tx>
            <c:strRef>
              <c:f>Sheet2!$E$1</c:f>
              <c:strCache>
                <c:ptCount val="1"/>
                <c:pt idx="0">
                  <c:v>Regression deseasonalised ( level+t*trend)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Sheet2!$B$2:$B$17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Sheet2!$E$2:$E$17</c:f>
              <c:numCache>
                <c:formatCode>0</c:formatCode>
                <c:ptCount val="16"/>
                <c:pt idx="0">
                  <c:v>18962.797619047618</c:v>
                </c:pt>
                <c:pt idx="1">
                  <c:v>19486.607142857145</c:v>
                </c:pt>
                <c:pt idx="2">
                  <c:v>20010.416666666668</c:v>
                </c:pt>
                <c:pt idx="3">
                  <c:v>20534.226190476191</c:v>
                </c:pt>
                <c:pt idx="4">
                  <c:v>21058.035714285714</c:v>
                </c:pt>
                <c:pt idx="5">
                  <c:v>21581.845238095237</c:v>
                </c:pt>
                <c:pt idx="6">
                  <c:v>22105.654761904763</c:v>
                </c:pt>
                <c:pt idx="7">
                  <c:v>22629.464285714286</c:v>
                </c:pt>
                <c:pt idx="8">
                  <c:v>23153.273809523809</c:v>
                </c:pt>
                <c:pt idx="9">
                  <c:v>23677.083333333336</c:v>
                </c:pt>
                <c:pt idx="10">
                  <c:v>24200.892857142859</c:v>
                </c:pt>
                <c:pt idx="11">
                  <c:v>24724.702380952382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676-4B74-AE7E-C25EB1E06F3F}"/>
            </c:ext>
          </c:extLst>
        </c:ser>
        <c:ser>
          <c:idx val="3"/>
          <c:order val="3"/>
          <c:tx>
            <c:strRef>
              <c:f>Sheet2!$F$1</c:f>
              <c:strCache>
                <c:ptCount val="1"/>
                <c:pt idx="0">
                  <c:v>Seasonality (demand/regression deseasonalised)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Sheet2!$B$2:$B$17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Sheet2!$F$2:$F$17</c:f>
              <c:numCache>
                <c:formatCode>0.00</c:formatCode>
                <c:ptCount val="16"/>
                <c:pt idx="0">
                  <c:v>0.42187867849015148</c:v>
                </c:pt>
                <c:pt idx="1">
                  <c:v>0.66712485681557843</c:v>
                </c:pt>
                <c:pt idx="2">
                  <c:v>1.1494013534617387</c:v>
                </c:pt>
                <c:pt idx="3">
                  <c:v>1.6557721574027102</c:v>
                </c:pt>
                <c:pt idx="4">
                  <c:v>0.47487810048759804</c:v>
                </c:pt>
                <c:pt idx="5">
                  <c:v>0.83403433772322977</c:v>
                </c:pt>
                <c:pt idx="6">
                  <c:v>1.0404577583305283</c:v>
                </c:pt>
                <c:pt idx="7">
                  <c:v>1.6792266719274018</c:v>
                </c:pt>
                <c:pt idx="8">
                  <c:v>0.51828523684041394</c:v>
                </c:pt>
                <c:pt idx="9">
                  <c:v>0.54905411350637923</c:v>
                </c:pt>
                <c:pt idx="10">
                  <c:v>1.3222652647113078</c:v>
                </c:pt>
                <c:pt idx="11">
                  <c:v>1.6582606078844417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676-4B74-AE7E-C25EB1E06F3F}"/>
            </c:ext>
          </c:extLst>
        </c:ser>
        <c:ser>
          <c:idx val="4"/>
          <c:order val="4"/>
          <c:tx>
            <c:strRef>
              <c:f>Sheet2!$G$1</c:f>
              <c:strCache>
                <c:ptCount val="1"/>
                <c:pt idx="0">
                  <c:v>Average seasonality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Sheet2!$B$2:$B$17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Sheet2!$G$2:$G$17</c:f>
              <c:numCache>
                <c:formatCode>0.00</c:formatCode>
                <c:ptCount val="16"/>
                <c:pt idx="0">
                  <c:v>0.47168067193938779</c:v>
                </c:pt>
                <c:pt idx="1">
                  <c:v>0.68340443601506251</c:v>
                </c:pt>
                <c:pt idx="2">
                  <c:v>1.1707081255011917</c:v>
                </c:pt>
                <c:pt idx="3">
                  <c:v>1.6644198124048513</c:v>
                </c:pt>
                <c:pt idx="4">
                  <c:v>0.47168067193938779</c:v>
                </c:pt>
                <c:pt idx="5">
                  <c:v>0.68340443601506251</c:v>
                </c:pt>
                <c:pt idx="6">
                  <c:v>1.1707081255011917</c:v>
                </c:pt>
                <c:pt idx="7">
                  <c:v>1.6644198124048513</c:v>
                </c:pt>
                <c:pt idx="8">
                  <c:v>0.47168067193938779</c:v>
                </c:pt>
                <c:pt idx="9">
                  <c:v>0.68340443601506251</c:v>
                </c:pt>
                <c:pt idx="10">
                  <c:v>1.1707081255011917</c:v>
                </c:pt>
                <c:pt idx="11">
                  <c:v>1.6644198124048513</c:v>
                </c:pt>
                <c:pt idx="12">
                  <c:v>0.47168067193938779</c:v>
                </c:pt>
                <c:pt idx="13">
                  <c:v>0.68340443601506251</c:v>
                </c:pt>
                <c:pt idx="14">
                  <c:v>1.1707081255011917</c:v>
                </c:pt>
                <c:pt idx="15">
                  <c:v>1.6644198124048513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676-4B74-AE7E-C25EB1E06F3F}"/>
            </c:ext>
          </c:extLst>
        </c:ser>
        <c:ser>
          <c:idx val="5"/>
          <c:order val="5"/>
          <c:tx>
            <c:strRef>
              <c:f>Sheet2!$H$1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Sheet2!$B$2:$B$17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Sheet2!$H$2:$H$17</c:f>
              <c:numCache>
                <c:formatCode>0</c:formatCode>
                <c:ptCount val="16"/>
                <c:pt idx="0">
                  <c:v>8944.3851228030035</c:v>
                </c:pt>
                <c:pt idx="1">
                  <c:v>13317.233764311375</c:v>
                </c:pt>
                <c:pt idx="2">
                  <c:v>23426.357386331139</c:v>
                </c:pt>
                <c:pt idx="3">
                  <c:v>34177.572903831162</c:v>
                </c:pt>
                <c:pt idx="4">
                  <c:v>9932.6684354379122</c:v>
                </c:pt>
                <c:pt idx="5">
                  <c:v>14749.128773104838</c:v>
                </c:pt>
                <c:pt idx="6">
                  <c:v>25879.26964928602</c:v>
                </c:pt>
                <c:pt idx="7">
                  <c:v>37664.92870125085</c:v>
                </c:pt>
                <c:pt idx="8">
                  <c:v>10920.951748072819</c:v>
                </c:pt>
                <c:pt idx="9">
                  <c:v>16181.023781898304</c:v>
                </c:pt>
                <c:pt idx="10">
                  <c:v>28332.181912240896</c:v>
                </c:pt>
                <c:pt idx="11">
                  <c:v>41152.284498670546</c:v>
                </c:pt>
                <c:pt idx="12">
                  <c:v>11909.235060707728</c:v>
                </c:pt>
                <c:pt idx="13">
                  <c:v>17612.918790691765</c:v>
                </c:pt>
                <c:pt idx="14">
                  <c:v>30785.094175195776</c:v>
                </c:pt>
                <c:pt idx="15">
                  <c:v>44639.640296090234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676-4B74-AE7E-C25EB1E06F3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5487968"/>
        <c:axId val="1025482688"/>
      </c:lineChart>
      <c:catAx>
        <c:axId val="102548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482688"/>
        <c:crosses val="autoZero"/>
        <c:auto val="1"/>
        <c:lblAlgn val="ctr"/>
        <c:lblOffset val="100"/>
        <c:noMultiLvlLbl val="0"/>
      </c:catAx>
      <c:valAx>
        <c:axId val="102548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48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650426</xdr:colOff>
      <xdr:row>32</xdr:row>
      <xdr:rowOff>20806</xdr:rowOff>
    </xdr:from>
    <xdr:to>
      <xdr:col>25</xdr:col>
      <xdr:colOff>352224</xdr:colOff>
      <xdr:row>46</xdr:row>
      <xdr:rowOff>159402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B0019-6795-CC98-FD89-12102BFE48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2095500</xdr:colOff>
      <xdr:row>23</xdr:row>
      <xdr:rowOff>88899</xdr:rowOff>
    </xdr:from>
    <xdr:to>
      <xdr:col>9</xdr:col>
      <xdr:colOff>508000</xdr:colOff>
      <xdr:row>38</xdr:row>
      <xdr:rowOff>133349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EB74693-B076-814B-5D6D-891294051B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217593</xdr:colOff>
      <xdr:row>8</xdr:row>
      <xdr:rowOff>100874</xdr:rowOff>
    </xdr:from>
    <xdr:to>
      <xdr:col>16</xdr:col>
      <xdr:colOff>350762</xdr:colOff>
      <xdr:row>48</xdr:row>
      <xdr:rowOff>84666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7C29B0-BDBB-59EE-840E-8B3BA4021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2C4-F626-46DC-A22D-F6DA8E87378F}">
  <sheetPr codeName="Sheet1"/>
  <dimension ref="A1:T27"/>
  <sheetViews>
    <sheetView zoomScale="70" workbookViewId="0">
      <selection activeCell="F20" sqref="F20"/>
    </sheetView>
  </sheetViews>
  <sheetFormatPr defaultRowHeight="14.4" x14ac:dyDescent="0.3"/>
  <cols>
    <col min="1" max="1" width="25" bestFit="1" customWidth="1"/>
    <col min="2" max="2" width="13.33203125" bestFit="1" customWidth="1"/>
    <col min="3" max="3" width="9.33203125" bestFit="1" customWidth="1"/>
    <col min="4" max="4" width="13.109375" bestFit="1" customWidth="1"/>
    <col min="5" max="5" width="11.88671875" bestFit="1" customWidth="1"/>
    <col min="6" max="6" width="43.109375" bestFit="1" customWidth="1"/>
    <col min="7" max="7" width="17.21875" bestFit="1" customWidth="1"/>
    <col min="8" max="8" width="15.5546875" bestFit="1" customWidth="1"/>
    <col min="9" max="9" width="13.44140625" bestFit="1" customWidth="1"/>
    <col min="10" max="10" width="16.88671875" bestFit="1" customWidth="1"/>
    <col min="11" max="11" width="13.88671875" bestFit="1" customWidth="1"/>
    <col min="12" max="12" width="16.88671875" bestFit="1" customWidth="1"/>
    <col min="13" max="13" width="13.88671875" bestFit="1" customWidth="1"/>
    <col min="14" max="14" width="13.77734375" bestFit="1" customWidth="1"/>
    <col min="15" max="15" width="13.88671875" bestFit="1" customWidth="1"/>
    <col min="16" max="16" width="13.33203125" bestFit="1" customWidth="1"/>
    <col min="17" max="17" width="13.88671875" bestFit="1" customWidth="1"/>
    <col min="18" max="18" width="13.33203125" bestFit="1" customWidth="1"/>
    <col min="19" max="19" width="13.88671875" bestFit="1" customWidth="1"/>
    <col min="20" max="20" width="13.33203125" bestFit="1" customWidth="1"/>
    <col min="28" max="28" width="23.109375" bestFit="1" customWidth="1"/>
    <col min="29" max="29" width="15.44140625" bestFit="1" customWidth="1"/>
    <col min="30" max="30" width="18.5546875" bestFit="1" customWidth="1"/>
    <col min="31" max="31" width="23.6640625" bestFit="1" customWidth="1"/>
    <col min="32" max="32" width="14.44140625" bestFit="1" customWidth="1"/>
    <col min="33" max="33" width="18.33203125" bestFit="1" customWidth="1"/>
    <col min="34" max="34" width="14.44140625" bestFit="1" customWidth="1"/>
    <col min="35" max="35" width="16" bestFit="1" customWidth="1"/>
    <col min="36" max="36" width="16.44140625" bestFit="1" customWidth="1"/>
  </cols>
  <sheetData>
    <row r="1" spans="1:20" ht="29.4" thickBot="1" x14ac:dyDescent="0.4">
      <c r="A1" s="3" t="s">
        <v>0</v>
      </c>
      <c r="B1" s="9" t="s">
        <v>1</v>
      </c>
      <c r="C1" s="10" t="s">
        <v>2</v>
      </c>
      <c r="D1" t="s">
        <v>21</v>
      </c>
      <c r="E1" t="s">
        <v>46</v>
      </c>
      <c r="F1" s="15" t="s">
        <v>51</v>
      </c>
      <c r="L1" t="s">
        <v>22</v>
      </c>
    </row>
    <row r="2" spans="1:20" ht="16.2" thickBot="1" x14ac:dyDescent="0.35">
      <c r="A2" s="4" t="s">
        <v>3</v>
      </c>
      <c r="B2" s="1">
        <v>1</v>
      </c>
      <c r="C2" s="2">
        <v>8000</v>
      </c>
    </row>
    <row r="3" spans="1:20" ht="15.6" x14ac:dyDescent="0.3">
      <c r="A3" s="5" t="s">
        <v>4</v>
      </c>
      <c r="B3" s="1">
        <v>2</v>
      </c>
      <c r="C3" s="2">
        <v>13000</v>
      </c>
      <c r="L3" s="18" t="s">
        <v>23</v>
      </c>
      <c r="M3" s="18"/>
    </row>
    <row r="4" spans="1:20" ht="15.6" x14ac:dyDescent="0.3">
      <c r="A4" s="4" t="s">
        <v>5</v>
      </c>
      <c r="B4" s="1">
        <v>3</v>
      </c>
      <c r="C4" s="2">
        <v>23000</v>
      </c>
      <c r="D4">
        <f>((C2+C6)+2*SUM(C3:C5))/(2*$B$27)</f>
        <v>19750</v>
      </c>
      <c r="L4" t="s">
        <v>24</v>
      </c>
      <c r="M4">
        <v>0.96247901864083085</v>
      </c>
    </row>
    <row r="5" spans="1:20" ht="15.6" x14ac:dyDescent="0.3">
      <c r="A5" s="6" t="s">
        <v>6</v>
      </c>
      <c r="B5" s="1">
        <v>4</v>
      </c>
      <c r="C5" s="2">
        <v>34000</v>
      </c>
      <c r="D5">
        <f t="shared" ref="D5:D11" si="0">((C3+C7)+2*SUM(C4:C6))/(2*$B$27)</f>
        <v>20625</v>
      </c>
      <c r="L5" t="s">
        <v>25</v>
      </c>
      <c r="M5">
        <v>0.92636586132381682</v>
      </c>
    </row>
    <row r="6" spans="1:20" ht="15.6" x14ac:dyDescent="0.3">
      <c r="A6" s="7" t="s">
        <v>7</v>
      </c>
      <c r="B6" s="1">
        <v>5</v>
      </c>
      <c r="C6" s="2">
        <v>10000</v>
      </c>
      <c r="D6">
        <f t="shared" si="0"/>
        <v>21250</v>
      </c>
      <c r="L6" t="s">
        <v>26</v>
      </c>
      <c r="M6">
        <v>0.89691220585334364</v>
      </c>
    </row>
    <row r="7" spans="1:20" ht="15.6" x14ac:dyDescent="0.3">
      <c r="A7" s="6" t="s">
        <v>8</v>
      </c>
      <c r="B7" s="1">
        <v>6</v>
      </c>
      <c r="C7" s="2">
        <v>18000</v>
      </c>
      <c r="D7">
        <f t="shared" si="0"/>
        <v>21750</v>
      </c>
      <c r="L7" t="s">
        <v>27</v>
      </c>
      <c r="M7">
        <v>429.98920926254499</v>
      </c>
    </row>
    <row r="8" spans="1:20" ht="16.2" thickBot="1" x14ac:dyDescent="0.35">
      <c r="A8" s="7" t="s">
        <v>9</v>
      </c>
      <c r="B8" s="1">
        <v>7</v>
      </c>
      <c r="C8" s="2">
        <v>23000</v>
      </c>
      <c r="D8">
        <f t="shared" si="0"/>
        <v>22500</v>
      </c>
      <c r="L8" s="16" t="s">
        <v>28</v>
      </c>
      <c r="M8" s="16">
        <v>8</v>
      </c>
    </row>
    <row r="9" spans="1:20" ht="15.6" x14ac:dyDescent="0.3">
      <c r="A9" s="5" t="s">
        <v>10</v>
      </c>
      <c r="B9" s="1">
        <v>8</v>
      </c>
      <c r="C9" s="2">
        <v>38000</v>
      </c>
      <c r="D9">
        <f t="shared" si="0"/>
        <v>22125</v>
      </c>
    </row>
    <row r="10" spans="1:20" ht="16.2" thickBot="1" x14ac:dyDescent="0.35">
      <c r="A10" s="4" t="s">
        <v>11</v>
      </c>
      <c r="B10" s="1">
        <v>9</v>
      </c>
      <c r="C10" s="2">
        <v>12000</v>
      </c>
      <c r="D10">
        <f t="shared" si="0"/>
        <v>22625</v>
      </c>
      <c r="L10" t="s">
        <v>29</v>
      </c>
    </row>
    <row r="11" spans="1:20" ht="15.6" x14ac:dyDescent="0.3">
      <c r="A11" s="5" t="s">
        <v>12</v>
      </c>
      <c r="B11" s="1">
        <v>10</v>
      </c>
      <c r="C11" s="2">
        <v>13000</v>
      </c>
      <c r="D11">
        <f t="shared" si="0"/>
        <v>24125</v>
      </c>
      <c r="L11" s="17"/>
      <c r="M11" s="17" t="s">
        <v>34</v>
      </c>
      <c r="N11" s="17" t="s">
        <v>35</v>
      </c>
      <c r="O11" s="17" t="s">
        <v>36</v>
      </c>
      <c r="P11" s="17" t="s">
        <v>37</v>
      </c>
      <c r="Q11" s="17" t="s">
        <v>38</v>
      </c>
    </row>
    <row r="12" spans="1:20" ht="15.6" x14ac:dyDescent="0.3">
      <c r="A12" s="4" t="s">
        <v>13</v>
      </c>
      <c r="B12" s="1">
        <v>11</v>
      </c>
      <c r="C12" s="2">
        <v>32000</v>
      </c>
      <c r="L12" t="s">
        <v>30</v>
      </c>
      <c r="M12">
        <v>2</v>
      </c>
      <c r="N12">
        <v>11630233.899588857</v>
      </c>
      <c r="O12">
        <v>5815116.9497944284</v>
      </c>
      <c r="P12">
        <v>31.451643150117004</v>
      </c>
      <c r="Q12">
        <v>1.4712891345815937E-3</v>
      </c>
    </row>
    <row r="13" spans="1:20" ht="16.2" thickBot="1" x14ac:dyDescent="0.35">
      <c r="A13" s="8" t="s">
        <v>14</v>
      </c>
      <c r="B13" s="1">
        <v>12</v>
      </c>
      <c r="C13" s="2">
        <v>41000</v>
      </c>
      <c r="L13" t="s">
        <v>31</v>
      </c>
      <c r="M13">
        <v>5</v>
      </c>
      <c r="N13">
        <v>924453.60041114339</v>
      </c>
      <c r="O13">
        <v>184890.72008222868</v>
      </c>
    </row>
    <row r="14" spans="1:20" ht="16.2" thickBot="1" x14ac:dyDescent="0.35">
      <c r="A14" s="11" t="s">
        <v>15</v>
      </c>
      <c r="B14" s="1">
        <v>13</v>
      </c>
      <c r="L14" s="16" t="s">
        <v>32</v>
      </c>
      <c r="M14" s="16">
        <v>7</v>
      </c>
      <c r="N14" s="16">
        <v>12554687.5</v>
      </c>
      <c r="O14" s="16"/>
      <c r="P14" s="16"/>
      <c r="Q14" s="16"/>
    </row>
    <row r="15" spans="1:20" ht="16.2" thickBot="1" x14ac:dyDescent="0.35">
      <c r="A15" s="11" t="s">
        <v>16</v>
      </c>
      <c r="B15" s="1">
        <v>14</v>
      </c>
    </row>
    <row r="16" spans="1:20" ht="15.6" x14ac:dyDescent="0.3">
      <c r="A16" s="11" t="s">
        <v>17</v>
      </c>
      <c r="B16" s="1">
        <v>15</v>
      </c>
      <c r="L16" s="17"/>
      <c r="M16" s="17" t="s">
        <v>39</v>
      </c>
      <c r="N16" s="17" t="s">
        <v>27</v>
      </c>
      <c r="O16" s="17" t="s">
        <v>40</v>
      </c>
      <c r="P16" s="17" t="s">
        <v>41</v>
      </c>
      <c r="Q16" s="17" t="s">
        <v>42</v>
      </c>
      <c r="R16" s="17" t="s">
        <v>43</v>
      </c>
      <c r="S16" s="17" t="s">
        <v>44</v>
      </c>
      <c r="T16" s="17" t="s">
        <v>45</v>
      </c>
    </row>
    <row r="17" spans="1:20" ht="15.6" x14ac:dyDescent="0.3">
      <c r="A17" s="11" t="s">
        <v>18</v>
      </c>
      <c r="B17" s="1">
        <v>16</v>
      </c>
      <c r="L17" t="s">
        <v>33</v>
      </c>
      <c r="M17">
        <v>18791.753219328039</v>
      </c>
      <c r="N17">
        <v>652.14831251713088</v>
      </c>
      <c r="O17">
        <v>28.815152717020041</v>
      </c>
      <c r="P17">
        <v>9.432165434348285E-7</v>
      </c>
      <c r="Q17">
        <v>17115.352613030627</v>
      </c>
      <c r="R17">
        <v>20468.15382562545</v>
      </c>
      <c r="S17">
        <v>17115.352613030627</v>
      </c>
      <c r="T17">
        <v>20468.15382562545</v>
      </c>
    </row>
    <row r="18" spans="1:20" x14ac:dyDescent="0.3">
      <c r="L18" t="s">
        <v>49</v>
      </c>
      <c r="M18">
        <v>510.36100001723861</v>
      </c>
      <c r="N18">
        <v>68.675849754433258</v>
      </c>
      <c r="O18">
        <v>7.4314479084300382</v>
      </c>
      <c r="P18">
        <v>6.9529261323266476E-4</v>
      </c>
      <c r="Q18">
        <v>333.82410809160376</v>
      </c>
      <c r="R18">
        <v>686.89789194287346</v>
      </c>
      <c r="S18">
        <v>333.82410809160376</v>
      </c>
      <c r="T18">
        <v>686.89789194287346</v>
      </c>
    </row>
    <row r="19" spans="1:20" ht="16.2" thickBot="1" x14ac:dyDescent="0.35">
      <c r="A19" s="12" t="s">
        <v>20</v>
      </c>
      <c r="B19" s="13">
        <v>4</v>
      </c>
      <c r="L19" s="16" t="s">
        <v>50</v>
      </c>
      <c r="M19" s="16">
        <v>-1.2414021962109318E-2</v>
      </c>
      <c r="N19" s="16">
        <v>1.6362494385502354E-2</v>
      </c>
      <c r="O19" s="16">
        <v>-0.75868762241461807</v>
      </c>
      <c r="P19" s="16">
        <v>0.48225077155160567</v>
      </c>
      <c r="Q19" s="16">
        <v>-5.4475152815182858E-2</v>
      </c>
      <c r="R19" s="16">
        <v>2.9647108890964217E-2</v>
      </c>
      <c r="S19" s="16">
        <v>-5.4475152815182858E-2</v>
      </c>
      <c r="T19" s="16">
        <v>2.9647108890964217E-2</v>
      </c>
    </row>
    <row r="20" spans="1:20" x14ac:dyDescent="0.3">
      <c r="A20" t="s">
        <v>19</v>
      </c>
    </row>
    <row r="21" spans="1:20" x14ac:dyDescent="0.3">
      <c r="A21" s="14" t="s">
        <v>47</v>
      </c>
      <c r="B21">
        <f>M17</f>
        <v>18791.753219328039</v>
      </c>
      <c r="D21" t="s">
        <v>52</v>
      </c>
    </row>
    <row r="22" spans="1:20" x14ac:dyDescent="0.3">
      <c r="A22" t="s">
        <v>48</v>
      </c>
      <c r="B22">
        <f>M18</f>
        <v>510.36100001723861</v>
      </c>
      <c r="D22" t="s">
        <v>53</v>
      </c>
    </row>
    <row r="23" spans="1:20" x14ac:dyDescent="0.3">
      <c r="D23" t="s">
        <v>54</v>
      </c>
    </row>
    <row r="24" spans="1:20" x14ac:dyDescent="0.3">
      <c r="D24" t="s">
        <v>55</v>
      </c>
    </row>
    <row r="27" spans="1:20" x14ac:dyDescent="0.3">
      <c r="B27">
        <v>4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BAAA2-A2BB-4B71-8B1D-40CDD7E3DF67}">
  <sheetPr codeName="Sheet2"/>
  <dimension ref="A1:T27"/>
  <sheetViews>
    <sheetView tabSelected="1" zoomScale="63" workbookViewId="0">
      <selection activeCell="E22" sqref="E22"/>
    </sheetView>
  </sheetViews>
  <sheetFormatPr defaultRowHeight="14.4" x14ac:dyDescent="0.3"/>
  <cols>
    <col min="1" max="1" width="13.33203125" bestFit="1" customWidth="1"/>
    <col min="2" max="2" width="10.6640625" bestFit="1" customWidth="1"/>
    <col min="3" max="3" width="9.6640625" bestFit="1" customWidth="1"/>
    <col min="4" max="4" width="13" bestFit="1" customWidth="1"/>
    <col min="5" max="5" width="39.77734375" bestFit="1" customWidth="1"/>
    <col min="6" max="6" width="44.21875" bestFit="1" customWidth="1"/>
    <col min="7" max="7" width="18.109375" bestFit="1" customWidth="1"/>
    <col min="8" max="8" width="8.77734375" bestFit="1" customWidth="1"/>
    <col min="12" max="12" width="17.21875" bestFit="1" customWidth="1"/>
    <col min="13" max="13" width="12.77734375" bestFit="1" customWidth="1"/>
    <col min="14" max="14" width="14" bestFit="1" customWidth="1"/>
    <col min="15" max="16" width="12.77734375" bestFit="1" customWidth="1"/>
    <col min="17" max="17" width="13.6640625" bestFit="1" customWidth="1"/>
    <col min="18" max="20" width="12.77734375" bestFit="1" customWidth="1"/>
  </cols>
  <sheetData>
    <row r="1" spans="1:17" ht="29.4" thickBot="1" x14ac:dyDescent="0.4">
      <c r="A1" s="3" t="s">
        <v>0</v>
      </c>
      <c r="B1" s="9" t="s">
        <v>1</v>
      </c>
      <c r="C1" s="10" t="s">
        <v>2</v>
      </c>
      <c r="D1" t="s">
        <v>56</v>
      </c>
      <c r="E1" t="s">
        <v>58</v>
      </c>
      <c r="F1" t="s">
        <v>57</v>
      </c>
      <c r="G1" t="s">
        <v>59</v>
      </c>
      <c r="H1" t="s">
        <v>60</v>
      </c>
    </row>
    <row r="2" spans="1:17" ht="15.6" x14ac:dyDescent="0.3">
      <c r="A2" s="4" t="s">
        <v>3</v>
      </c>
      <c r="B2" s="1">
        <v>1</v>
      </c>
      <c r="C2" s="2">
        <v>8000</v>
      </c>
      <c r="E2" s="24">
        <f>level+B2*trend</f>
        <v>18962.797619047618</v>
      </c>
      <c r="F2" s="23">
        <f>C2/E2</f>
        <v>0.42187867849015148</v>
      </c>
      <c r="G2" s="23">
        <v>0.47168067193938779</v>
      </c>
      <c r="H2" s="24">
        <f>(level+B2*trend)*G2</f>
        <v>8944.3851228030035</v>
      </c>
      <c r="L2" t="s">
        <v>22</v>
      </c>
    </row>
    <row r="3" spans="1:17" ht="16.2" thickBot="1" x14ac:dyDescent="0.35">
      <c r="A3" s="5" t="s">
        <v>4</v>
      </c>
      <c r="B3" s="1">
        <v>2</v>
      </c>
      <c r="C3" s="2">
        <v>13000</v>
      </c>
      <c r="E3" s="24">
        <f>level+B3*trend</f>
        <v>19486.607142857145</v>
      </c>
      <c r="F3" s="23">
        <f t="shared" ref="F3:F18" si="0">C3/E3</f>
        <v>0.66712485681557843</v>
      </c>
      <c r="G3" s="23">
        <v>0.68340443601506251</v>
      </c>
      <c r="H3" s="24">
        <f>(level+B3*trend)*G3</f>
        <v>13317.233764311375</v>
      </c>
    </row>
    <row r="4" spans="1:17" ht="15.6" x14ac:dyDescent="0.3">
      <c r="A4" s="4" t="s">
        <v>5</v>
      </c>
      <c r="B4" s="1">
        <v>3</v>
      </c>
      <c r="C4" s="2">
        <v>23000</v>
      </c>
      <c r="D4">
        <f>((C2+C6)+2*SUM(C3:C5))/(2*$B$19)</f>
        <v>19750</v>
      </c>
      <c r="E4" s="24">
        <f>level+B4*trend</f>
        <v>20010.416666666668</v>
      </c>
      <c r="F4" s="23">
        <f t="shared" si="0"/>
        <v>1.1494013534617387</v>
      </c>
      <c r="G4" s="23">
        <v>1.1707081255011917</v>
      </c>
      <c r="H4" s="24">
        <f>(level+B4*trend)*G4</f>
        <v>23426.357386331139</v>
      </c>
      <c r="L4" s="22" t="s">
        <v>23</v>
      </c>
      <c r="M4" s="22"/>
    </row>
    <row r="5" spans="1:17" ht="15.6" x14ac:dyDescent="0.3">
      <c r="A5" s="6" t="s">
        <v>6</v>
      </c>
      <c r="B5" s="1">
        <v>4</v>
      </c>
      <c r="C5" s="2">
        <v>34000</v>
      </c>
      <c r="D5">
        <f t="shared" ref="D5:D11" si="1">((C3+C7)+2*SUM(C4:C6))/(2*$B$19)</f>
        <v>20625</v>
      </c>
      <c r="E5" s="24">
        <f>level+B5*trend</f>
        <v>20534.226190476191</v>
      </c>
      <c r="F5" s="23">
        <f t="shared" si="0"/>
        <v>1.6557721574027102</v>
      </c>
      <c r="G5" s="23">
        <v>1.6644198124048513</v>
      </c>
      <c r="H5" s="24">
        <f>(level+B5*trend)*G5</f>
        <v>34177.572903831162</v>
      </c>
      <c r="L5" s="19" t="s">
        <v>24</v>
      </c>
      <c r="M5" s="19">
        <v>0.95806523657865916</v>
      </c>
    </row>
    <row r="6" spans="1:17" ht="15.6" x14ac:dyDescent="0.3">
      <c r="A6" s="7" t="s">
        <v>7</v>
      </c>
      <c r="B6" s="1">
        <v>5</v>
      </c>
      <c r="C6" s="2">
        <v>10000</v>
      </c>
      <c r="D6">
        <f t="shared" si="1"/>
        <v>21250</v>
      </c>
      <c r="E6" s="24">
        <f>level+B6*trend</f>
        <v>21058.035714285714</v>
      </c>
      <c r="F6" s="23">
        <f t="shared" si="0"/>
        <v>0.47487810048759804</v>
      </c>
      <c r="G6" s="23">
        <v>0.47168067193938779</v>
      </c>
      <c r="H6" s="24">
        <f>(level+B6*trend)*G6</f>
        <v>9932.6684354379122</v>
      </c>
      <c r="L6" s="19" t="s">
        <v>25</v>
      </c>
      <c r="M6" s="19">
        <v>0.91788899754052211</v>
      </c>
    </row>
    <row r="7" spans="1:17" ht="15.6" x14ac:dyDescent="0.3">
      <c r="A7" s="6" t="s">
        <v>8</v>
      </c>
      <c r="B7" s="1">
        <v>6</v>
      </c>
      <c r="C7" s="2">
        <v>18000</v>
      </c>
      <c r="D7">
        <f t="shared" si="1"/>
        <v>21750</v>
      </c>
      <c r="E7" s="24">
        <f>level+B7*trend</f>
        <v>21581.845238095237</v>
      </c>
      <c r="F7" s="23">
        <f t="shared" si="0"/>
        <v>0.83403433772322977</v>
      </c>
      <c r="G7" s="23">
        <v>0.68340443601506251</v>
      </c>
      <c r="H7" s="24">
        <f>(level+B7*trend)*G7</f>
        <v>14749.128773104838</v>
      </c>
      <c r="L7" s="19" t="s">
        <v>26</v>
      </c>
      <c r="M7" s="19">
        <v>0.90420383046394248</v>
      </c>
    </row>
    <row r="8" spans="1:17" ht="15.6" x14ac:dyDescent="0.3">
      <c r="A8" s="7" t="s">
        <v>9</v>
      </c>
      <c r="B8" s="1">
        <v>7</v>
      </c>
      <c r="C8" s="2">
        <v>23000</v>
      </c>
      <c r="D8">
        <f t="shared" si="1"/>
        <v>22500</v>
      </c>
      <c r="E8" s="24">
        <f>level+B8*trend</f>
        <v>22105.654761904763</v>
      </c>
      <c r="F8" s="23">
        <f t="shared" si="0"/>
        <v>1.0404577583305283</v>
      </c>
      <c r="G8" s="23">
        <v>1.1707081255011917</v>
      </c>
      <c r="H8" s="24">
        <f>(level+B8*trend)*G8</f>
        <v>25879.26964928602</v>
      </c>
      <c r="L8" s="19" t="s">
        <v>27</v>
      </c>
      <c r="M8" s="19">
        <v>414.50331244966662</v>
      </c>
    </row>
    <row r="9" spans="1:17" ht="16.2" thickBot="1" x14ac:dyDescent="0.35">
      <c r="A9" s="5" t="s">
        <v>10</v>
      </c>
      <c r="B9" s="1">
        <v>8</v>
      </c>
      <c r="C9" s="2">
        <v>38000</v>
      </c>
      <c r="D9">
        <f t="shared" si="1"/>
        <v>22125</v>
      </c>
      <c r="E9" s="24">
        <f>level+B9*trend</f>
        <v>22629.464285714286</v>
      </c>
      <c r="F9" s="23">
        <f t="shared" si="0"/>
        <v>1.6792266719274018</v>
      </c>
      <c r="G9" s="23">
        <v>1.6644198124048513</v>
      </c>
      <c r="H9" s="24">
        <f>(level+B9*trend)*G9</f>
        <v>37664.92870125085</v>
      </c>
      <c r="L9" s="20" t="s">
        <v>28</v>
      </c>
      <c r="M9" s="20">
        <v>8</v>
      </c>
    </row>
    <row r="10" spans="1:17" ht="15.6" x14ac:dyDescent="0.3">
      <c r="A10" s="4" t="s">
        <v>11</v>
      </c>
      <c r="B10" s="1">
        <v>9</v>
      </c>
      <c r="C10" s="2">
        <v>12000</v>
      </c>
      <c r="D10">
        <f t="shared" si="1"/>
        <v>22625</v>
      </c>
      <c r="E10" s="24">
        <f>level+B10*trend</f>
        <v>23153.273809523809</v>
      </c>
      <c r="F10" s="23">
        <f t="shared" si="0"/>
        <v>0.51828523684041394</v>
      </c>
      <c r="G10" s="23">
        <v>0.47168067193938779</v>
      </c>
      <c r="H10" s="24">
        <f>(level+B10*trend)*G10</f>
        <v>10920.951748072819</v>
      </c>
    </row>
    <row r="11" spans="1:17" ht="16.2" thickBot="1" x14ac:dyDescent="0.35">
      <c r="A11" s="5" t="s">
        <v>12</v>
      </c>
      <c r="B11" s="1">
        <v>10</v>
      </c>
      <c r="C11" s="2">
        <v>13000</v>
      </c>
      <c r="D11">
        <f t="shared" si="1"/>
        <v>24125</v>
      </c>
      <c r="E11" s="24">
        <f>level+B11*trend</f>
        <v>23677.083333333336</v>
      </c>
      <c r="F11" s="23">
        <f t="shared" si="0"/>
        <v>0.54905411350637923</v>
      </c>
      <c r="G11" s="23">
        <v>0.68340443601506251</v>
      </c>
      <c r="H11" s="24">
        <f>(level+B11*trend)*G11</f>
        <v>16181.023781898304</v>
      </c>
      <c r="L11" t="s">
        <v>29</v>
      </c>
    </row>
    <row r="12" spans="1:17" ht="15.6" x14ac:dyDescent="0.3">
      <c r="A12" s="4" t="s">
        <v>13</v>
      </c>
      <c r="B12" s="1">
        <v>11</v>
      </c>
      <c r="C12" s="2">
        <v>32000</v>
      </c>
      <c r="E12" s="24">
        <f>level+B12*trend</f>
        <v>24200.892857142859</v>
      </c>
      <c r="F12" s="23">
        <f t="shared" si="0"/>
        <v>1.3222652647113078</v>
      </c>
      <c r="G12" s="23">
        <v>1.1707081255011917</v>
      </c>
      <c r="H12" s="24">
        <f>(level+B12*trend)*G12</f>
        <v>28332.181912240896</v>
      </c>
      <c r="L12" s="21"/>
      <c r="M12" s="21" t="s">
        <v>34</v>
      </c>
      <c r="N12" s="21" t="s">
        <v>35</v>
      </c>
      <c r="O12" s="21" t="s">
        <v>36</v>
      </c>
      <c r="P12" s="21" t="s">
        <v>37</v>
      </c>
      <c r="Q12" s="21" t="s">
        <v>38</v>
      </c>
    </row>
    <row r="13" spans="1:17" ht="16.2" thickBot="1" x14ac:dyDescent="0.35">
      <c r="A13" s="8" t="s">
        <v>14</v>
      </c>
      <c r="B13" s="1">
        <v>12</v>
      </c>
      <c r="C13" s="2">
        <v>41000</v>
      </c>
      <c r="E13" s="24">
        <f>level+B13*trend</f>
        <v>24724.702380952382</v>
      </c>
      <c r="F13" s="23">
        <f t="shared" si="0"/>
        <v>1.6582606078844417</v>
      </c>
      <c r="G13" s="23">
        <v>1.6644198124048513</v>
      </c>
      <c r="H13" s="24">
        <f>(level+B13*trend)*G13</f>
        <v>41152.284498670546</v>
      </c>
      <c r="L13" s="19" t="s">
        <v>30</v>
      </c>
      <c r="M13" s="19">
        <v>1</v>
      </c>
      <c r="N13" s="19">
        <v>11523809.523809524</v>
      </c>
      <c r="O13" s="19">
        <v>11523809.523809524</v>
      </c>
      <c r="P13" s="19">
        <v>67.071815229159185</v>
      </c>
      <c r="Q13" s="19">
        <v>1.7860862471323006E-4</v>
      </c>
    </row>
    <row r="14" spans="1:17" ht="15.6" x14ac:dyDescent="0.3">
      <c r="A14" s="11" t="s">
        <v>15</v>
      </c>
      <c r="B14" s="1">
        <v>13</v>
      </c>
      <c r="F14" s="23"/>
      <c r="G14" s="23">
        <v>0.47168067193938779</v>
      </c>
      <c r="H14" s="24">
        <f>(level+B14*trend)*G14</f>
        <v>11909.235060707728</v>
      </c>
      <c r="L14" s="19" t="s">
        <v>31</v>
      </c>
      <c r="M14" s="19">
        <v>6</v>
      </c>
      <c r="N14" s="19">
        <v>1030877.9761904756</v>
      </c>
      <c r="O14" s="19">
        <v>171812.99603174595</v>
      </c>
      <c r="P14" s="19"/>
      <c r="Q14" s="19"/>
    </row>
    <row r="15" spans="1:17" ht="16.2" thickBot="1" x14ac:dyDescent="0.35">
      <c r="A15" s="11" t="s">
        <v>16</v>
      </c>
      <c r="B15" s="1">
        <v>14</v>
      </c>
      <c r="F15" s="23"/>
      <c r="G15" s="23">
        <v>0.68340443601506251</v>
      </c>
      <c r="H15" s="24">
        <f>(level+B15*trend)*G15</f>
        <v>17612.918790691765</v>
      </c>
      <c r="L15" s="20" t="s">
        <v>32</v>
      </c>
      <c r="M15" s="20">
        <v>7</v>
      </c>
      <c r="N15" s="20">
        <v>12554687.5</v>
      </c>
      <c r="O15" s="20"/>
      <c r="P15" s="20"/>
      <c r="Q15" s="20"/>
    </row>
    <row r="16" spans="1:17" ht="16.2" thickBot="1" x14ac:dyDescent="0.35">
      <c r="A16" s="11" t="s">
        <v>17</v>
      </c>
      <c r="B16" s="1">
        <v>15</v>
      </c>
      <c r="F16" s="23"/>
      <c r="G16" s="23">
        <v>1.1707081255011917</v>
      </c>
      <c r="H16" s="24">
        <f>(level+B16*trend)*G16</f>
        <v>30785.094175195776</v>
      </c>
    </row>
    <row r="17" spans="1:20" ht="15.6" x14ac:dyDescent="0.3">
      <c r="A17" s="11" t="s">
        <v>18</v>
      </c>
      <c r="B17" s="1">
        <v>16</v>
      </c>
      <c r="F17" s="23"/>
      <c r="G17" s="23">
        <v>1.6644198124048513</v>
      </c>
      <c r="H17" s="24">
        <f>(level+B17*trend)*G17</f>
        <v>44639.640296090234</v>
      </c>
      <c r="L17" s="21"/>
      <c r="M17" s="21" t="s">
        <v>39</v>
      </c>
      <c r="N17" s="21" t="s">
        <v>27</v>
      </c>
      <c r="O17" s="21" t="s">
        <v>40</v>
      </c>
      <c r="P17" s="21" t="s">
        <v>41</v>
      </c>
      <c r="Q17" s="21" t="s">
        <v>42</v>
      </c>
      <c r="R17" s="21" t="s">
        <v>43</v>
      </c>
      <c r="S17" s="21" t="s">
        <v>44</v>
      </c>
      <c r="T17" s="21" t="s">
        <v>45</v>
      </c>
    </row>
    <row r="18" spans="1:20" x14ac:dyDescent="0.3">
      <c r="L18" s="19" t="s">
        <v>33</v>
      </c>
      <c r="M18" s="19">
        <v>18438.988095238095</v>
      </c>
      <c r="N18" s="19">
        <v>440.80870787753844</v>
      </c>
      <c r="O18" s="19">
        <v>41.829908905430813</v>
      </c>
      <c r="P18" s="19">
        <v>1.2487616472712049E-8</v>
      </c>
      <c r="Q18" s="19">
        <v>17360.368043844646</v>
      </c>
      <c r="R18" s="19">
        <v>19517.608146631545</v>
      </c>
      <c r="S18" s="19">
        <v>17360.368043844646</v>
      </c>
      <c r="T18" s="19">
        <v>19517.608146631545</v>
      </c>
    </row>
    <row r="19" spans="1:20" ht="16.2" thickBot="1" x14ac:dyDescent="0.35">
      <c r="A19" s="12" t="s">
        <v>20</v>
      </c>
      <c r="B19" s="13">
        <v>4</v>
      </c>
      <c r="L19" s="20" t="s">
        <v>49</v>
      </c>
      <c r="M19" s="20">
        <v>523.80952380952385</v>
      </c>
      <c r="N19" s="20">
        <v>63.95924968136724</v>
      </c>
      <c r="O19" s="20">
        <v>8.1897384103009774</v>
      </c>
      <c r="P19" s="20">
        <v>1.7860862471323006E-4</v>
      </c>
      <c r="Q19" s="20">
        <v>367.30687777384622</v>
      </c>
      <c r="R19" s="20">
        <v>680.31216984520142</v>
      </c>
      <c r="S19" s="20">
        <v>367.30687777384622</v>
      </c>
      <c r="T19" s="20">
        <v>680.31216984520142</v>
      </c>
    </row>
    <row r="20" spans="1:20" x14ac:dyDescent="0.3">
      <c r="A20" s="12" t="s">
        <v>47</v>
      </c>
      <c r="B20" s="23">
        <f>M18</f>
        <v>18438.988095238095</v>
      </c>
    </row>
    <row r="21" spans="1:20" x14ac:dyDescent="0.3">
      <c r="A21" s="12" t="s">
        <v>48</v>
      </c>
      <c r="B21" s="23">
        <f>M19</f>
        <v>523.80952380952385</v>
      </c>
    </row>
    <row r="24" spans="1:20" x14ac:dyDescent="0.3">
      <c r="E24" t="s">
        <v>52</v>
      </c>
      <c r="F24" s="23">
        <f>AVERAGE(F2,F6,F10)</f>
        <v>0.47168067193938779</v>
      </c>
    </row>
    <row r="25" spans="1:20" x14ac:dyDescent="0.3">
      <c r="E25" t="s">
        <v>53</v>
      </c>
      <c r="F25" s="23">
        <f>AVERAGE(F3,F7,F11)</f>
        <v>0.68340443601506251</v>
      </c>
    </row>
    <row r="26" spans="1:20" x14ac:dyDescent="0.3">
      <c r="E26" t="s">
        <v>54</v>
      </c>
      <c r="F26" s="23">
        <f>AVERAGE(F4,F8,F12)</f>
        <v>1.1707081255011917</v>
      </c>
    </row>
    <row r="27" spans="1:20" x14ac:dyDescent="0.3">
      <c r="E27" t="s">
        <v>55</v>
      </c>
      <c r="F27" s="23">
        <f>AVERAGE(F5,F9,F13)</f>
        <v>1.6644198124048513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Sheet1</vt:lpstr>
      <vt:lpstr>Sheet2</vt:lpstr>
      <vt:lpstr>Sheet2!level</vt:lpstr>
      <vt:lpstr>level</vt:lpstr>
      <vt:lpstr>Sheet2!trend</vt:lpstr>
      <vt:lpstr>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ANUJ AA231142</dc:creator>
  <cp:lastModifiedBy>ANUJ AA231142</cp:lastModifiedBy>
  <dcterms:created xsi:type="dcterms:W3CDTF">2025-01-07T08:23:03Z</dcterms:created>
  <dcterms:modified xsi:type="dcterms:W3CDTF">2025-01-08T11:55:38Z</dcterms:modified>
</cp:coreProperties>
</file>